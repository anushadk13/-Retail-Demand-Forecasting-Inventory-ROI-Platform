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Data" sheetId="3" state="visible" r:id="rId3"/>
    <sheet name="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%"/>
    <numFmt numFmtId="167" formatCode="$#,##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9" fontId="0" fillId="2" borderId="0" pivotButton="0" quotePrefix="0" xfId="0"/>
    <xf numFmtId="164" fontId="0" fillId="0" borderId="0" pivotButton="0" quotePrefix="0" xfId="0"/>
    <xf numFmtId="1" fontId="0" fillId="2" borderId="0" pivotButton="0" quotePrefix="0" xfId="0"/>
    <xf numFmtId="165" fontId="0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savings from better forecasting</t>
        </is>
      </c>
    </row>
    <row r="3">
      <c r="A3" s="2" t="inlineStr">
        <is>
          <t>Scenario</t>
        </is>
      </c>
      <c r="B3" s="2" t="inlineStr">
        <is>
          <t>Safety stock reduction</t>
        </is>
      </c>
      <c r="C3" s="2" t="inlineStr">
        <is>
          <t>Stockout reduction</t>
        </is>
      </c>
      <c r="D3" s="2" t="inlineStr">
        <is>
          <t>Annual savings ($)</t>
        </is>
      </c>
    </row>
    <row r="4">
      <c r="A4" t="inlineStr">
        <is>
          <t>Conservative</t>
        </is>
      </c>
      <c r="B4" s="3">
        <f>SUM(Scenarios!G2:G4)/SUM(Scenarios!E2:E4)</f>
        <v/>
      </c>
      <c r="C4" s="3">
        <f>SUM(Scenarios!K2:K4)/SUM(Scenarios!M2:M4)</f>
        <v/>
      </c>
      <c r="D4" s="4">
        <f>SUM(Scenarios!L2:L4)</f>
        <v/>
      </c>
    </row>
    <row r="5">
      <c r="A5" t="inlineStr">
        <is>
          <t>Expected</t>
        </is>
      </c>
      <c r="B5" s="3">
        <f>SUM(Scenarios!G5:G7)/SUM(Scenarios!E5:E7)</f>
        <v/>
      </c>
      <c r="C5" s="3">
        <f>SUM(Scenarios!K5:K7)/SUM(Scenarios!M5:M7)</f>
        <v/>
      </c>
      <c r="D5" s="4">
        <f>SUM(Scenarios!L5:L7)</f>
        <v/>
      </c>
    </row>
    <row r="6">
      <c r="A6" t="inlineStr">
        <is>
          <t>Optimistic</t>
        </is>
      </c>
      <c r="B6" s="3">
        <f>SUM(Scenarios!G8:G10)/SUM(Scenarios!E8:E10)</f>
        <v/>
      </c>
      <c r="C6" s="3">
        <f>SUM(Scenarios!K8:K10)/SUM(Scenarios!M8:M10)</f>
        <v/>
      </c>
      <c r="D6" s="4">
        <f>SUM(Scenarios!L8:L10)</f>
        <v/>
      </c>
    </row>
    <row r="9">
      <c r="A9" s="5" t="inlineStr">
        <is>
          <t>Sensitivity: annual savings ($) by accuracy improvement (sigma reduction, rows) x holding cost (columns)</t>
        </is>
      </c>
    </row>
    <row r="10">
      <c r="A10" s="5" t="inlineStr">
        <is>
          <t>Improvement \ Holding cost</t>
        </is>
      </c>
      <c r="B10" s="6" t="n">
        <v>0.1</v>
      </c>
      <c r="C10" s="6" t="n">
        <v>0.15</v>
      </c>
      <c r="D10" s="6" t="n">
        <v>0.2</v>
      </c>
      <c r="E10" s="6" t="n">
        <v>0.25</v>
      </c>
      <c r="F10" s="6" t="n">
        <v>0.3</v>
      </c>
      <c r="G10" s="6" t="n">
        <v>0.4</v>
      </c>
    </row>
    <row r="11">
      <c r="A11" s="6" t="n">
        <v>0.05</v>
      </c>
      <c r="B11" s="4">
        <f>Assumptions!$B$4*(Data!$B2*SQRT(Assumptions!$B$5))*Assumptions!$B$8*$A11*(Data!$D2*(1-Assumptions!$B$7))*B$10+(Data!$B2*SQRT(Assumptions!$B$5))*Assumptions!$B$9*(Data!$D2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3*SQRT(Assumptions!$B$5))*Assumptions!$B$8*$A11*(Data!$D3*(1-Assumptions!$B$7))*B$10+(Data!$B3*SQRT(Assumptions!$B$5))*Assumptions!$B$9*(Data!$D3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4*SQRT(Assumptions!$B$5))*Assumptions!$B$8*$A11*(Data!$D4*(1-Assumptions!$B$7))*B$10+(Data!$B4*SQRT(Assumptions!$B$5))*Assumptions!$B$9*(Data!$D4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</f>
        <v/>
      </c>
      <c r="C11" s="4">
        <f>Assumptions!$B$4*(Data!$B2*SQRT(Assumptions!$B$5))*Assumptions!$B$8*$A11*(Data!$D2*(1-Assumptions!$B$7))*C$10+(Data!$B2*SQRT(Assumptions!$B$5))*Assumptions!$B$9*(Data!$D2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3*SQRT(Assumptions!$B$5))*Assumptions!$B$8*$A11*(Data!$D3*(1-Assumptions!$B$7))*C$10+(Data!$B3*SQRT(Assumptions!$B$5))*Assumptions!$B$9*(Data!$D3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4*SQRT(Assumptions!$B$5))*Assumptions!$B$8*$A11*(Data!$D4*(1-Assumptions!$B$7))*C$10+(Data!$B4*SQRT(Assumptions!$B$5))*Assumptions!$B$9*(Data!$D4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</f>
        <v/>
      </c>
      <c r="D11" s="4">
        <f>Assumptions!$B$4*(Data!$B2*SQRT(Assumptions!$B$5))*Assumptions!$B$8*$A11*(Data!$D2*(1-Assumptions!$B$7))*D$10+(Data!$B2*SQRT(Assumptions!$B$5))*Assumptions!$B$9*(Data!$D2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3*SQRT(Assumptions!$B$5))*Assumptions!$B$8*$A11*(Data!$D3*(1-Assumptions!$B$7))*D$10+(Data!$B3*SQRT(Assumptions!$B$5))*Assumptions!$B$9*(Data!$D3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4*SQRT(Assumptions!$B$5))*Assumptions!$B$8*$A11*(Data!$D4*(1-Assumptions!$B$7))*D$10+(Data!$B4*SQRT(Assumptions!$B$5))*Assumptions!$B$9*(Data!$D4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</f>
        <v/>
      </c>
      <c r="E11" s="4">
        <f>Assumptions!$B$4*(Data!$B2*SQRT(Assumptions!$B$5))*Assumptions!$B$8*$A11*(Data!$D2*(1-Assumptions!$B$7))*E$10+(Data!$B2*SQRT(Assumptions!$B$5))*Assumptions!$B$9*(Data!$D2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3*SQRT(Assumptions!$B$5))*Assumptions!$B$8*$A11*(Data!$D3*(1-Assumptions!$B$7))*E$10+(Data!$B3*SQRT(Assumptions!$B$5))*Assumptions!$B$9*(Data!$D3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4*SQRT(Assumptions!$B$5))*Assumptions!$B$8*$A11*(Data!$D4*(1-Assumptions!$B$7))*E$10+(Data!$B4*SQRT(Assumptions!$B$5))*Assumptions!$B$9*(Data!$D4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</f>
        <v/>
      </c>
      <c r="F11" s="4">
        <f>Assumptions!$B$4*(Data!$B2*SQRT(Assumptions!$B$5))*Assumptions!$B$8*$A11*(Data!$D2*(1-Assumptions!$B$7))*F$10+(Data!$B2*SQRT(Assumptions!$B$5))*Assumptions!$B$9*(Data!$D2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3*SQRT(Assumptions!$B$5))*Assumptions!$B$8*$A11*(Data!$D3*(1-Assumptions!$B$7))*F$10+(Data!$B3*SQRT(Assumptions!$B$5))*Assumptions!$B$9*(Data!$D3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4*SQRT(Assumptions!$B$5))*Assumptions!$B$8*$A11*(Data!$D4*(1-Assumptions!$B$7))*F$10+(Data!$B4*SQRT(Assumptions!$B$5))*Assumptions!$B$9*(Data!$D4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</f>
        <v/>
      </c>
      <c r="G11" s="4">
        <f>Assumptions!$B$4*(Data!$B2*SQRT(Assumptions!$B$5))*Assumptions!$B$8*$A11*(Data!$D2*(1-Assumptions!$B$7))*G$10+(Data!$B2*SQRT(Assumptions!$B$5))*Assumptions!$B$9*(Data!$D2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3*SQRT(Assumptions!$B$5))*Assumptions!$B$8*$A11*(Data!$D3*(1-Assumptions!$B$7))*G$10+(Data!$B3*SQRT(Assumptions!$B$5))*Assumptions!$B$9*(Data!$D3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+Assumptions!$B$4*(Data!$B4*SQRT(Assumptions!$B$5))*Assumptions!$B$8*$A11*(Data!$D4*(1-Assumptions!$B$7))*G$10+(Data!$B4*SQRT(Assumptions!$B$5))*Assumptions!$B$9*(Data!$D4*Assumptions!$B$7)*((NORMDIST(Assumptions!$B$4,0,1,FALSE)-Assumptions!$B$4*(1-NORMSDIST(Assumptions!$B$4)))-(1-$A11)*(NORMDIST((Assumptions!$B$4*(1-Assumptions!$B$8*$A11)/(1-$A11)),0,1,FALSE)-(Assumptions!$B$4*(1-Assumptions!$B$8*$A11)/(1-$A11))*(1-NORMSDIST((Assumptions!$B$4*(1-Assumptions!$B$8*$A11)/(1-$A11))))))</f>
        <v/>
      </c>
    </row>
    <row r="12">
      <c r="A12" s="6" t="n">
        <v>0.1</v>
      </c>
      <c r="B12" s="4">
        <f>Assumptions!$B$4*(Data!$B2*SQRT(Assumptions!$B$5))*Assumptions!$B$8*$A12*(Data!$D2*(1-Assumptions!$B$7))*B$10+(Data!$B2*SQRT(Assumptions!$B$5))*Assumptions!$B$9*(Data!$D2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3*SQRT(Assumptions!$B$5))*Assumptions!$B$8*$A12*(Data!$D3*(1-Assumptions!$B$7))*B$10+(Data!$B3*SQRT(Assumptions!$B$5))*Assumptions!$B$9*(Data!$D3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4*SQRT(Assumptions!$B$5))*Assumptions!$B$8*$A12*(Data!$D4*(1-Assumptions!$B$7))*B$10+(Data!$B4*SQRT(Assumptions!$B$5))*Assumptions!$B$9*(Data!$D4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</f>
        <v/>
      </c>
      <c r="C12" s="4">
        <f>Assumptions!$B$4*(Data!$B2*SQRT(Assumptions!$B$5))*Assumptions!$B$8*$A12*(Data!$D2*(1-Assumptions!$B$7))*C$10+(Data!$B2*SQRT(Assumptions!$B$5))*Assumptions!$B$9*(Data!$D2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3*SQRT(Assumptions!$B$5))*Assumptions!$B$8*$A12*(Data!$D3*(1-Assumptions!$B$7))*C$10+(Data!$B3*SQRT(Assumptions!$B$5))*Assumptions!$B$9*(Data!$D3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4*SQRT(Assumptions!$B$5))*Assumptions!$B$8*$A12*(Data!$D4*(1-Assumptions!$B$7))*C$10+(Data!$B4*SQRT(Assumptions!$B$5))*Assumptions!$B$9*(Data!$D4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</f>
        <v/>
      </c>
      <c r="D12" s="4">
        <f>Assumptions!$B$4*(Data!$B2*SQRT(Assumptions!$B$5))*Assumptions!$B$8*$A12*(Data!$D2*(1-Assumptions!$B$7))*D$10+(Data!$B2*SQRT(Assumptions!$B$5))*Assumptions!$B$9*(Data!$D2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3*SQRT(Assumptions!$B$5))*Assumptions!$B$8*$A12*(Data!$D3*(1-Assumptions!$B$7))*D$10+(Data!$B3*SQRT(Assumptions!$B$5))*Assumptions!$B$9*(Data!$D3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4*SQRT(Assumptions!$B$5))*Assumptions!$B$8*$A12*(Data!$D4*(1-Assumptions!$B$7))*D$10+(Data!$B4*SQRT(Assumptions!$B$5))*Assumptions!$B$9*(Data!$D4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</f>
        <v/>
      </c>
      <c r="E12" s="4">
        <f>Assumptions!$B$4*(Data!$B2*SQRT(Assumptions!$B$5))*Assumptions!$B$8*$A12*(Data!$D2*(1-Assumptions!$B$7))*E$10+(Data!$B2*SQRT(Assumptions!$B$5))*Assumptions!$B$9*(Data!$D2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3*SQRT(Assumptions!$B$5))*Assumptions!$B$8*$A12*(Data!$D3*(1-Assumptions!$B$7))*E$10+(Data!$B3*SQRT(Assumptions!$B$5))*Assumptions!$B$9*(Data!$D3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4*SQRT(Assumptions!$B$5))*Assumptions!$B$8*$A12*(Data!$D4*(1-Assumptions!$B$7))*E$10+(Data!$B4*SQRT(Assumptions!$B$5))*Assumptions!$B$9*(Data!$D4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</f>
        <v/>
      </c>
      <c r="F12" s="4">
        <f>Assumptions!$B$4*(Data!$B2*SQRT(Assumptions!$B$5))*Assumptions!$B$8*$A12*(Data!$D2*(1-Assumptions!$B$7))*F$10+(Data!$B2*SQRT(Assumptions!$B$5))*Assumptions!$B$9*(Data!$D2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3*SQRT(Assumptions!$B$5))*Assumptions!$B$8*$A12*(Data!$D3*(1-Assumptions!$B$7))*F$10+(Data!$B3*SQRT(Assumptions!$B$5))*Assumptions!$B$9*(Data!$D3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4*SQRT(Assumptions!$B$5))*Assumptions!$B$8*$A12*(Data!$D4*(1-Assumptions!$B$7))*F$10+(Data!$B4*SQRT(Assumptions!$B$5))*Assumptions!$B$9*(Data!$D4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</f>
        <v/>
      </c>
      <c r="G12" s="4">
        <f>Assumptions!$B$4*(Data!$B2*SQRT(Assumptions!$B$5))*Assumptions!$B$8*$A12*(Data!$D2*(1-Assumptions!$B$7))*G$10+(Data!$B2*SQRT(Assumptions!$B$5))*Assumptions!$B$9*(Data!$D2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3*SQRT(Assumptions!$B$5))*Assumptions!$B$8*$A12*(Data!$D3*(1-Assumptions!$B$7))*G$10+(Data!$B3*SQRT(Assumptions!$B$5))*Assumptions!$B$9*(Data!$D3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+Assumptions!$B$4*(Data!$B4*SQRT(Assumptions!$B$5))*Assumptions!$B$8*$A12*(Data!$D4*(1-Assumptions!$B$7))*G$10+(Data!$B4*SQRT(Assumptions!$B$5))*Assumptions!$B$9*(Data!$D4*Assumptions!$B$7)*((NORMDIST(Assumptions!$B$4,0,1,FALSE)-Assumptions!$B$4*(1-NORMSDIST(Assumptions!$B$4)))-(1-$A12)*(NORMDIST((Assumptions!$B$4*(1-Assumptions!$B$8*$A12)/(1-$A12)),0,1,FALSE)-(Assumptions!$B$4*(1-Assumptions!$B$8*$A12)/(1-$A12))*(1-NORMSDIST((Assumptions!$B$4*(1-Assumptions!$B$8*$A12)/(1-$A12))))))</f>
        <v/>
      </c>
    </row>
    <row r="13">
      <c r="A13" s="6" t="n">
        <v>0.15</v>
      </c>
      <c r="B13" s="4">
        <f>Assumptions!$B$4*(Data!$B2*SQRT(Assumptions!$B$5))*Assumptions!$B$8*$A13*(Data!$D2*(1-Assumptions!$B$7))*B$10+(Data!$B2*SQRT(Assumptions!$B$5))*Assumptions!$B$9*(Data!$D2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3*SQRT(Assumptions!$B$5))*Assumptions!$B$8*$A13*(Data!$D3*(1-Assumptions!$B$7))*B$10+(Data!$B3*SQRT(Assumptions!$B$5))*Assumptions!$B$9*(Data!$D3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4*SQRT(Assumptions!$B$5))*Assumptions!$B$8*$A13*(Data!$D4*(1-Assumptions!$B$7))*B$10+(Data!$B4*SQRT(Assumptions!$B$5))*Assumptions!$B$9*(Data!$D4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</f>
        <v/>
      </c>
      <c r="C13" s="4">
        <f>Assumptions!$B$4*(Data!$B2*SQRT(Assumptions!$B$5))*Assumptions!$B$8*$A13*(Data!$D2*(1-Assumptions!$B$7))*C$10+(Data!$B2*SQRT(Assumptions!$B$5))*Assumptions!$B$9*(Data!$D2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3*SQRT(Assumptions!$B$5))*Assumptions!$B$8*$A13*(Data!$D3*(1-Assumptions!$B$7))*C$10+(Data!$B3*SQRT(Assumptions!$B$5))*Assumptions!$B$9*(Data!$D3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4*SQRT(Assumptions!$B$5))*Assumptions!$B$8*$A13*(Data!$D4*(1-Assumptions!$B$7))*C$10+(Data!$B4*SQRT(Assumptions!$B$5))*Assumptions!$B$9*(Data!$D4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</f>
        <v/>
      </c>
      <c r="D13" s="4">
        <f>Assumptions!$B$4*(Data!$B2*SQRT(Assumptions!$B$5))*Assumptions!$B$8*$A13*(Data!$D2*(1-Assumptions!$B$7))*D$10+(Data!$B2*SQRT(Assumptions!$B$5))*Assumptions!$B$9*(Data!$D2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3*SQRT(Assumptions!$B$5))*Assumptions!$B$8*$A13*(Data!$D3*(1-Assumptions!$B$7))*D$10+(Data!$B3*SQRT(Assumptions!$B$5))*Assumptions!$B$9*(Data!$D3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4*SQRT(Assumptions!$B$5))*Assumptions!$B$8*$A13*(Data!$D4*(1-Assumptions!$B$7))*D$10+(Data!$B4*SQRT(Assumptions!$B$5))*Assumptions!$B$9*(Data!$D4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</f>
        <v/>
      </c>
      <c r="E13" s="4">
        <f>Assumptions!$B$4*(Data!$B2*SQRT(Assumptions!$B$5))*Assumptions!$B$8*$A13*(Data!$D2*(1-Assumptions!$B$7))*E$10+(Data!$B2*SQRT(Assumptions!$B$5))*Assumptions!$B$9*(Data!$D2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3*SQRT(Assumptions!$B$5))*Assumptions!$B$8*$A13*(Data!$D3*(1-Assumptions!$B$7))*E$10+(Data!$B3*SQRT(Assumptions!$B$5))*Assumptions!$B$9*(Data!$D3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4*SQRT(Assumptions!$B$5))*Assumptions!$B$8*$A13*(Data!$D4*(1-Assumptions!$B$7))*E$10+(Data!$B4*SQRT(Assumptions!$B$5))*Assumptions!$B$9*(Data!$D4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</f>
        <v/>
      </c>
      <c r="F13" s="4">
        <f>Assumptions!$B$4*(Data!$B2*SQRT(Assumptions!$B$5))*Assumptions!$B$8*$A13*(Data!$D2*(1-Assumptions!$B$7))*F$10+(Data!$B2*SQRT(Assumptions!$B$5))*Assumptions!$B$9*(Data!$D2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3*SQRT(Assumptions!$B$5))*Assumptions!$B$8*$A13*(Data!$D3*(1-Assumptions!$B$7))*F$10+(Data!$B3*SQRT(Assumptions!$B$5))*Assumptions!$B$9*(Data!$D3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4*SQRT(Assumptions!$B$5))*Assumptions!$B$8*$A13*(Data!$D4*(1-Assumptions!$B$7))*F$10+(Data!$B4*SQRT(Assumptions!$B$5))*Assumptions!$B$9*(Data!$D4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</f>
        <v/>
      </c>
      <c r="G13" s="4">
        <f>Assumptions!$B$4*(Data!$B2*SQRT(Assumptions!$B$5))*Assumptions!$B$8*$A13*(Data!$D2*(1-Assumptions!$B$7))*G$10+(Data!$B2*SQRT(Assumptions!$B$5))*Assumptions!$B$9*(Data!$D2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3*SQRT(Assumptions!$B$5))*Assumptions!$B$8*$A13*(Data!$D3*(1-Assumptions!$B$7))*G$10+(Data!$B3*SQRT(Assumptions!$B$5))*Assumptions!$B$9*(Data!$D3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+Assumptions!$B$4*(Data!$B4*SQRT(Assumptions!$B$5))*Assumptions!$B$8*$A13*(Data!$D4*(1-Assumptions!$B$7))*G$10+(Data!$B4*SQRT(Assumptions!$B$5))*Assumptions!$B$9*(Data!$D4*Assumptions!$B$7)*((NORMDIST(Assumptions!$B$4,0,1,FALSE)-Assumptions!$B$4*(1-NORMSDIST(Assumptions!$B$4)))-(1-$A13)*(NORMDIST((Assumptions!$B$4*(1-Assumptions!$B$8*$A13)/(1-$A13)),0,1,FALSE)-(Assumptions!$B$4*(1-Assumptions!$B$8*$A13)/(1-$A13))*(1-NORMSDIST((Assumptions!$B$4*(1-Assumptions!$B$8*$A13)/(1-$A13))))))</f>
        <v/>
      </c>
    </row>
    <row r="14">
      <c r="A14" s="6" t="n">
        <v>0.2</v>
      </c>
      <c r="B14" s="4">
        <f>Assumptions!$B$4*(Data!$B2*SQRT(Assumptions!$B$5))*Assumptions!$B$8*$A14*(Data!$D2*(1-Assumptions!$B$7))*B$10+(Data!$B2*SQRT(Assumptions!$B$5))*Assumptions!$B$9*(Data!$D2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3*SQRT(Assumptions!$B$5))*Assumptions!$B$8*$A14*(Data!$D3*(1-Assumptions!$B$7))*B$10+(Data!$B3*SQRT(Assumptions!$B$5))*Assumptions!$B$9*(Data!$D3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4*SQRT(Assumptions!$B$5))*Assumptions!$B$8*$A14*(Data!$D4*(1-Assumptions!$B$7))*B$10+(Data!$B4*SQRT(Assumptions!$B$5))*Assumptions!$B$9*(Data!$D4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</f>
        <v/>
      </c>
      <c r="C14" s="4">
        <f>Assumptions!$B$4*(Data!$B2*SQRT(Assumptions!$B$5))*Assumptions!$B$8*$A14*(Data!$D2*(1-Assumptions!$B$7))*C$10+(Data!$B2*SQRT(Assumptions!$B$5))*Assumptions!$B$9*(Data!$D2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3*SQRT(Assumptions!$B$5))*Assumptions!$B$8*$A14*(Data!$D3*(1-Assumptions!$B$7))*C$10+(Data!$B3*SQRT(Assumptions!$B$5))*Assumptions!$B$9*(Data!$D3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4*SQRT(Assumptions!$B$5))*Assumptions!$B$8*$A14*(Data!$D4*(1-Assumptions!$B$7))*C$10+(Data!$B4*SQRT(Assumptions!$B$5))*Assumptions!$B$9*(Data!$D4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</f>
        <v/>
      </c>
      <c r="D14" s="4">
        <f>Assumptions!$B$4*(Data!$B2*SQRT(Assumptions!$B$5))*Assumptions!$B$8*$A14*(Data!$D2*(1-Assumptions!$B$7))*D$10+(Data!$B2*SQRT(Assumptions!$B$5))*Assumptions!$B$9*(Data!$D2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3*SQRT(Assumptions!$B$5))*Assumptions!$B$8*$A14*(Data!$D3*(1-Assumptions!$B$7))*D$10+(Data!$B3*SQRT(Assumptions!$B$5))*Assumptions!$B$9*(Data!$D3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4*SQRT(Assumptions!$B$5))*Assumptions!$B$8*$A14*(Data!$D4*(1-Assumptions!$B$7))*D$10+(Data!$B4*SQRT(Assumptions!$B$5))*Assumptions!$B$9*(Data!$D4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</f>
        <v/>
      </c>
      <c r="E14" s="4">
        <f>Assumptions!$B$4*(Data!$B2*SQRT(Assumptions!$B$5))*Assumptions!$B$8*$A14*(Data!$D2*(1-Assumptions!$B$7))*E$10+(Data!$B2*SQRT(Assumptions!$B$5))*Assumptions!$B$9*(Data!$D2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3*SQRT(Assumptions!$B$5))*Assumptions!$B$8*$A14*(Data!$D3*(1-Assumptions!$B$7))*E$10+(Data!$B3*SQRT(Assumptions!$B$5))*Assumptions!$B$9*(Data!$D3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4*SQRT(Assumptions!$B$5))*Assumptions!$B$8*$A14*(Data!$D4*(1-Assumptions!$B$7))*E$10+(Data!$B4*SQRT(Assumptions!$B$5))*Assumptions!$B$9*(Data!$D4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</f>
        <v/>
      </c>
      <c r="F14" s="4">
        <f>Assumptions!$B$4*(Data!$B2*SQRT(Assumptions!$B$5))*Assumptions!$B$8*$A14*(Data!$D2*(1-Assumptions!$B$7))*F$10+(Data!$B2*SQRT(Assumptions!$B$5))*Assumptions!$B$9*(Data!$D2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3*SQRT(Assumptions!$B$5))*Assumptions!$B$8*$A14*(Data!$D3*(1-Assumptions!$B$7))*F$10+(Data!$B3*SQRT(Assumptions!$B$5))*Assumptions!$B$9*(Data!$D3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4*SQRT(Assumptions!$B$5))*Assumptions!$B$8*$A14*(Data!$D4*(1-Assumptions!$B$7))*F$10+(Data!$B4*SQRT(Assumptions!$B$5))*Assumptions!$B$9*(Data!$D4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</f>
        <v/>
      </c>
      <c r="G14" s="4">
        <f>Assumptions!$B$4*(Data!$B2*SQRT(Assumptions!$B$5))*Assumptions!$B$8*$A14*(Data!$D2*(1-Assumptions!$B$7))*G$10+(Data!$B2*SQRT(Assumptions!$B$5))*Assumptions!$B$9*(Data!$D2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3*SQRT(Assumptions!$B$5))*Assumptions!$B$8*$A14*(Data!$D3*(1-Assumptions!$B$7))*G$10+(Data!$B3*SQRT(Assumptions!$B$5))*Assumptions!$B$9*(Data!$D3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+Assumptions!$B$4*(Data!$B4*SQRT(Assumptions!$B$5))*Assumptions!$B$8*$A14*(Data!$D4*(1-Assumptions!$B$7))*G$10+(Data!$B4*SQRT(Assumptions!$B$5))*Assumptions!$B$9*(Data!$D4*Assumptions!$B$7)*((NORMDIST(Assumptions!$B$4,0,1,FALSE)-Assumptions!$B$4*(1-NORMSDIST(Assumptions!$B$4)))-(1-$A14)*(NORMDIST((Assumptions!$B$4*(1-Assumptions!$B$8*$A14)/(1-$A14)),0,1,FALSE)-(Assumptions!$B$4*(1-Assumptions!$B$8*$A14)/(1-$A14))*(1-NORMSDIST((Assumptions!$B$4*(1-Assumptions!$B$8*$A14)/(1-$A14))))))</f>
        <v/>
      </c>
    </row>
    <row r="15">
      <c r="A15" s="6" t="n">
        <v>0.25</v>
      </c>
      <c r="B15" s="4">
        <f>Assumptions!$B$4*(Data!$B2*SQRT(Assumptions!$B$5))*Assumptions!$B$8*$A15*(Data!$D2*(1-Assumptions!$B$7))*B$10+(Data!$B2*SQRT(Assumptions!$B$5))*Assumptions!$B$9*(Data!$D2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3*SQRT(Assumptions!$B$5))*Assumptions!$B$8*$A15*(Data!$D3*(1-Assumptions!$B$7))*B$10+(Data!$B3*SQRT(Assumptions!$B$5))*Assumptions!$B$9*(Data!$D3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4*SQRT(Assumptions!$B$5))*Assumptions!$B$8*$A15*(Data!$D4*(1-Assumptions!$B$7))*B$10+(Data!$B4*SQRT(Assumptions!$B$5))*Assumptions!$B$9*(Data!$D4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</f>
        <v/>
      </c>
      <c r="C15" s="4">
        <f>Assumptions!$B$4*(Data!$B2*SQRT(Assumptions!$B$5))*Assumptions!$B$8*$A15*(Data!$D2*(1-Assumptions!$B$7))*C$10+(Data!$B2*SQRT(Assumptions!$B$5))*Assumptions!$B$9*(Data!$D2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3*SQRT(Assumptions!$B$5))*Assumptions!$B$8*$A15*(Data!$D3*(1-Assumptions!$B$7))*C$10+(Data!$B3*SQRT(Assumptions!$B$5))*Assumptions!$B$9*(Data!$D3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4*SQRT(Assumptions!$B$5))*Assumptions!$B$8*$A15*(Data!$D4*(1-Assumptions!$B$7))*C$10+(Data!$B4*SQRT(Assumptions!$B$5))*Assumptions!$B$9*(Data!$D4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</f>
        <v/>
      </c>
      <c r="D15" s="4">
        <f>Assumptions!$B$4*(Data!$B2*SQRT(Assumptions!$B$5))*Assumptions!$B$8*$A15*(Data!$D2*(1-Assumptions!$B$7))*D$10+(Data!$B2*SQRT(Assumptions!$B$5))*Assumptions!$B$9*(Data!$D2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3*SQRT(Assumptions!$B$5))*Assumptions!$B$8*$A15*(Data!$D3*(1-Assumptions!$B$7))*D$10+(Data!$B3*SQRT(Assumptions!$B$5))*Assumptions!$B$9*(Data!$D3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4*SQRT(Assumptions!$B$5))*Assumptions!$B$8*$A15*(Data!$D4*(1-Assumptions!$B$7))*D$10+(Data!$B4*SQRT(Assumptions!$B$5))*Assumptions!$B$9*(Data!$D4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</f>
        <v/>
      </c>
      <c r="E15" s="4">
        <f>Assumptions!$B$4*(Data!$B2*SQRT(Assumptions!$B$5))*Assumptions!$B$8*$A15*(Data!$D2*(1-Assumptions!$B$7))*E$10+(Data!$B2*SQRT(Assumptions!$B$5))*Assumptions!$B$9*(Data!$D2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3*SQRT(Assumptions!$B$5))*Assumptions!$B$8*$A15*(Data!$D3*(1-Assumptions!$B$7))*E$10+(Data!$B3*SQRT(Assumptions!$B$5))*Assumptions!$B$9*(Data!$D3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4*SQRT(Assumptions!$B$5))*Assumptions!$B$8*$A15*(Data!$D4*(1-Assumptions!$B$7))*E$10+(Data!$B4*SQRT(Assumptions!$B$5))*Assumptions!$B$9*(Data!$D4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</f>
        <v/>
      </c>
      <c r="F15" s="4">
        <f>Assumptions!$B$4*(Data!$B2*SQRT(Assumptions!$B$5))*Assumptions!$B$8*$A15*(Data!$D2*(1-Assumptions!$B$7))*F$10+(Data!$B2*SQRT(Assumptions!$B$5))*Assumptions!$B$9*(Data!$D2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3*SQRT(Assumptions!$B$5))*Assumptions!$B$8*$A15*(Data!$D3*(1-Assumptions!$B$7))*F$10+(Data!$B3*SQRT(Assumptions!$B$5))*Assumptions!$B$9*(Data!$D3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4*SQRT(Assumptions!$B$5))*Assumptions!$B$8*$A15*(Data!$D4*(1-Assumptions!$B$7))*F$10+(Data!$B4*SQRT(Assumptions!$B$5))*Assumptions!$B$9*(Data!$D4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</f>
        <v/>
      </c>
      <c r="G15" s="4">
        <f>Assumptions!$B$4*(Data!$B2*SQRT(Assumptions!$B$5))*Assumptions!$B$8*$A15*(Data!$D2*(1-Assumptions!$B$7))*G$10+(Data!$B2*SQRT(Assumptions!$B$5))*Assumptions!$B$9*(Data!$D2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3*SQRT(Assumptions!$B$5))*Assumptions!$B$8*$A15*(Data!$D3*(1-Assumptions!$B$7))*G$10+(Data!$B3*SQRT(Assumptions!$B$5))*Assumptions!$B$9*(Data!$D3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+Assumptions!$B$4*(Data!$B4*SQRT(Assumptions!$B$5))*Assumptions!$B$8*$A15*(Data!$D4*(1-Assumptions!$B$7))*G$10+(Data!$B4*SQRT(Assumptions!$B$5))*Assumptions!$B$9*(Data!$D4*Assumptions!$B$7)*((NORMDIST(Assumptions!$B$4,0,1,FALSE)-Assumptions!$B$4*(1-NORMSDIST(Assumptions!$B$4)))-(1-$A15)*(NORMDIST((Assumptions!$B$4*(1-Assumptions!$B$8*$A15)/(1-$A15)),0,1,FALSE)-(Assumptions!$B$4*(1-Assumptions!$B$8*$A15)/(1-$A15))*(1-NORMSDIST((Assumptions!$B$4*(1-Assumptions!$B$8*$A15)/(1-$A15))))))</f>
        <v/>
      </c>
    </row>
    <row r="16">
      <c r="A16" s="6" t="n">
        <v>0.3</v>
      </c>
      <c r="B16" s="4">
        <f>Assumptions!$B$4*(Data!$B2*SQRT(Assumptions!$B$5))*Assumptions!$B$8*$A16*(Data!$D2*(1-Assumptions!$B$7))*B$10+(Data!$B2*SQRT(Assumptions!$B$5))*Assumptions!$B$9*(Data!$D2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3*SQRT(Assumptions!$B$5))*Assumptions!$B$8*$A16*(Data!$D3*(1-Assumptions!$B$7))*B$10+(Data!$B3*SQRT(Assumptions!$B$5))*Assumptions!$B$9*(Data!$D3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4*SQRT(Assumptions!$B$5))*Assumptions!$B$8*$A16*(Data!$D4*(1-Assumptions!$B$7))*B$10+(Data!$B4*SQRT(Assumptions!$B$5))*Assumptions!$B$9*(Data!$D4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</f>
        <v/>
      </c>
      <c r="C16" s="4">
        <f>Assumptions!$B$4*(Data!$B2*SQRT(Assumptions!$B$5))*Assumptions!$B$8*$A16*(Data!$D2*(1-Assumptions!$B$7))*C$10+(Data!$B2*SQRT(Assumptions!$B$5))*Assumptions!$B$9*(Data!$D2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3*SQRT(Assumptions!$B$5))*Assumptions!$B$8*$A16*(Data!$D3*(1-Assumptions!$B$7))*C$10+(Data!$B3*SQRT(Assumptions!$B$5))*Assumptions!$B$9*(Data!$D3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4*SQRT(Assumptions!$B$5))*Assumptions!$B$8*$A16*(Data!$D4*(1-Assumptions!$B$7))*C$10+(Data!$B4*SQRT(Assumptions!$B$5))*Assumptions!$B$9*(Data!$D4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</f>
        <v/>
      </c>
      <c r="D16" s="4">
        <f>Assumptions!$B$4*(Data!$B2*SQRT(Assumptions!$B$5))*Assumptions!$B$8*$A16*(Data!$D2*(1-Assumptions!$B$7))*D$10+(Data!$B2*SQRT(Assumptions!$B$5))*Assumptions!$B$9*(Data!$D2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3*SQRT(Assumptions!$B$5))*Assumptions!$B$8*$A16*(Data!$D3*(1-Assumptions!$B$7))*D$10+(Data!$B3*SQRT(Assumptions!$B$5))*Assumptions!$B$9*(Data!$D3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4*SQRT(Assumptions!$B$5))*Assumptions!$B$8*$A16*(Data!$D4*(1-Assumptions!$B$7))*D$10+(Data!$B4*SQRT(Assumptions!$B$5))*Assumptions!$B$9*(Data!$D4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</f>
        <v/>
      </c>
      <c r="E16" s="4">
        <f>Assumptions!$B$4*(Data!$B2*SQRT(Assumptions!$B$5))*Assumptions!$B$8*$A16*(Data!$D2*(1-Assumptions!$B$7))*E$10+(Data!$B2*SQRT(Assumptions!$B$5))*Assumptions!$B$9*(Data!$D2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3*SQRT(Assumptions!$B$5))*Assumptions!$B$8*$A16*(Data!$D3*(1-Assumptions!$B$7))*E$10+(Data!$B3*SQRT(Assumptions!$B$5))*Assumptions!$B$9*(Data!$D3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4*SQRT(Assumptions!$B$5))*Assumptions!$B$8*$A16*(Data!$D4*(1-Assumptions!$B$7))*E$10+(Data!$B4*SQRT(Assumptions!$B$5))*Assumptions!$B$9*(Data!$D4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</f>
        <v/>
      </c>
      <c r="F16" s="4">
        <f>Assumptions!$B$4*(Data!$B2*SQRT(Assumptions!$B$5))*Assumptions!$B$8*$A16*(Data!$D2*(1-Assumptions!$B$7))*F$10+(Data!$B2*SQRT(Assumptions!$B$5))*Assumptions!$B$9*(Data!$D2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3*SQRT(Assumptions!$B$5))*Assumptions!$B$8*$A16*(Data!$D3*(1-Assumptions!$B$7))*F$10+(Data!$B3*SQRT(Assumptions!$B$5))*Assumptions!$B$9*(Data!$D3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4*SQRT(Assumptions!$B$5))*Assumptions!$B$8*$A16*(Data!$D4*(1-Assumptions!$B$7))*F$10+(Data!$B4*SQRT(Assumptions!$B$5))*Assumptions!$B$9*(Data!$D4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</f>
        <v/>
      </c>
      <c r="G16" s="4">
        <f>Assumptions!$B$4*(Data!$B2*SQRT(Assumptions!$B$5))*Assumptions!$B$8*$A16*(Data!$D2*(1-Assumptions!$B$7))*G$10+(Data!$B2*SQRT(Assumptions!$B$5))*Assumptions!$B$9*(Data!$D2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3*SQRT(Assumptions!$B$5))*Assumptions!$B$8*$A16*(Data!$D3*(1-Assumptions!$B$7))*G$10+(Data!$B3*SQRT(Assumptions!$B$5))*Assumptions!$B$9*(Data!$D3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+Assumptions!$B$4*(Data!$B4*SQRT(Assumptions!$B$5))*Assumptions!$B$8*$A16*(Data!$D4*(1-Assumptions!$B$7))*G$10+(Data!$B4*SQRT(Assumptions!$B$5))*Assumptions!$B$9*(Data!$D4*Assumptions!$B$7)*((NORMDIST(Assumptions!$B$4,0,1,FALSE)-Assumptions!$B$4*(1-NORMSDIST(Assumptions!$B$4)))-(1-$A16)*(NORMDIST((Assumptions!$B$4*(1-Assumptions!$B$8*$A16)/(1-$A16)),0,1,FALSE)-(Assumptions!$B$4*(1-Assumptions!$B$8*$A16)/(1-$A16))*(1-NORMSDIST((Assumptions!$B$4*(1-Assumptions!$B$8*$A16)/(1-$A16))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70" customWidth="1" min="3" max="3"/>
  </cols>
  <sheetData>
    <row r="1">
      <c r="A1" s="1" t="inlineStr">
        <is>
          <t>Inventory ROI model - assumptions (yellow cells are inputs)</t>
        </is>
      </c>
    </row>
    <row r="3">
      <c r="A3" t="inlineStr">
        <is>
          <t>Service level</t>
        </is>
      </c>
      <c r="B3" s="7" t="n">
        <v>0.95</v>
      </c>
      <c r="C3" t="inlineStr">
        <is>
          <t>Target in-stock probability per replenishment cycle</t>
        </is>
      </c>
    </row>
    <row r="4">
      <c r="A4" t="inlineStr">
        <is>
          <t>z (service level)</t>
        </is>
      </c>
      <c r="B4" s="8">
        <f>NORMSINV(B3)</f>
        <v/>
      </c>
      <c r="C4" t="inlineStr">
        <is>
          <t>Derived</t>
        </is>
      </c>
    </row>
    <row r="5">
      <c r="A5" t="inlineStr">
        <is>
          <t>Lead time (days)</t>
        </is>
      </c>
      <c r="B5" s="9" t="n">
        <v>7</v>
      </c>
      <c r="C5" t="inlineStr">
        <is>
          <t>Replenishment lead time = review period</t>
        </is>
      </c>
    </row>
    <row r="6">
      <c r="A6" t="inlineStr">
        <is>
          <t>Holding cost (% of inventory value / yr)</t>
        </is>
      </c>
      <c r="B6" s="7" t="n">
        <v>0.25</v>
      </c>
      <c r="C6" t="inlineStr">
        <is>
          <t>Capital + storage + shrink</t>
        </is>
      </c>
    </row>
    <row r="7">
      <c r="A7" t="inlineStr">
        <is>
          <t>Gross margin on lost sales</t>
        </is>
      </c>
      <c r="B7" s="7" t="n">
        <v>0.3</v>
      </c>
      <c r="C7" t="inlineStr">
        <is>
          <t>Margin lost on each unit short; unit cost = price x (1 - margin)</t>
        </is>
      </c>
    </row>
    <row r="8">
      <c r="A8" t="inlineStr">
        <is>
          <t>Share of accuracy gain taken as lower inventory</t>
        </is>
      </c>
      <c r="B8" s="7" t="n">
        <v>0.5</v>
      </c>
      <c r="C8" t="inlineStr">
        <is>
          <t>Remainder is kept as extra service (fewer stockouts)</t>
        </is>
      </c>
    </row>
    <row r="9">
      <c r="A9" t="inlineStr">
        <is>
          <t>Replenishment cycles per year</t>
        </is>
      </c>
      <c r="B9" s="10">
        <f>365/B5</f>
        <v/>
      </c>
      <c r="C9" t="inlineStr">
        <is>
          <t>Derived</t>
        </is>
      </c>
    </row>
    <row r="11">
      <c r="A11" s="11" t="inlineStr">
        <is>
          <t>Safety stock = z x sum(sigma_i) x sqrt(lead time); sigma_i = std dev of daily forecast error of series i.</t>
        </is>
      </c>
    </row>
    <row r="12">
      <c r="A12" t="inlineStr">
        <is>
          <t>Baseline = moving_avg_28; model = lightgbm. Error sigmas come from the 13-fold rolling backtest (src/evaluation/roi.py).</t>
        </is>
      </c>
    </row>
    <row r="13">
      <c r="A13" t="inlineStr">
        <is>
          <t>Realisation: share of the backtest accuracy gain assumed to hold in production (Conservative 50% / Expected 75% / Optimistic 100%).</t>
        </is>
      </c>
    </row>
    <row r="14">
      <c r="A14" t="inlineStr">
        <is>
          <t>NOTE: dollar values are computed on SYNTHETIC sample data unless the real M5 dataset was loaded.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8" customWidth="1" min="4" max="4"/>
    <col width="14" customWidth="1" min="5" max="5"/>
  </cols>
  <sheetData>
    <row r="1">
      <c r="A1" s="2" t="inlineStr">
        <is>
          <t>Category</t>
        </is>
      </c>
      <c r="B1" s="2" t="inlineStr">
        <is>
          <t>Sum of series sigma - baseline</t>
        </is>
      </c>
      <c r="C1" s="2" t="inlineStr">
        <is>
          <t>Sum of series sigma - model</t>
        </is>
      </c>
      <c r="D1" s="2" t="inlineStr">
        <is>
          <t>Avg selling price ($/unit)</t>
        </is>
      </c>
      <c r="E1" s="2" t="inlineStr">
        <is>
          <t>Annual units</t>
        </is>
      </c>
    </row>
    <row r="2">
      <c r="A2" t="inlineStr">
        <is>
          <t>FOODS</t>
        </is>
      </c>
      <c r="B2" t="n">
        <v>643.2863134135628</v>
      </c>
      <c r="C2" t="n">
        <v>607.8224719952943</v>
      </c>
      <c r="D2" t="n">
        <v>3.536373585670835</v>
      </c>
      <c r="E2" t="n">
        <v>270008.75</v>
      </c>
    </row>
    <row r="3">
      <c r="A3" t="inlineStr">
        <is>
          <t>HOBBIES</t>
        </is>
      </c>
      <c r="B3" t="n">
        <v>201.7588059765316</v>
      </c>
      <c r="C3" t="n">
        <v>196.4794513973045</v>
      </c>
      <c r="D3" t="n">
        <v>6.236423894366077</v>
      </c>
      <c r="E3" t="n">
        <v>63937.415</v>
      </c>
    </row>
    <row r="4">
      <c r="A4" t="inlineStr">
        <is>
          <t>HOUSEHOLD</t>
        </is>
      </c>
      <c r="B4" t="n">
        <v>291.3365128495226</v>
      </c>
      <c r="C4" t="n">
        <v>281.3711641838287</v>
      </c>
      <c r="D4" t="n">
        <v>8.510666502178388</v>
      </c>
      <c r="E4" t="n">
        <v>112429.49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45" customHeight="1">
      <c r="A1" s="2" t="inlineStr">
        <is>
          <t>Scenario</t>
        </is>
      </c>
      <c r="B1" s="2" t="inlineStr">
        <is>
          <t>Realisation of backtest gain</t>
        </is>
      </c>
      <c r="C1" s="2" t="inlineStr">
        <is>
          <t>Category</t>
        </is>
      </c>
      <c r="D1" s="2" t="inlineStr">
        <is>
          <t>Accuracy dividend D</t>
        </is>
      </c>
      <c r="E1" s="2" t="inlineStr">
        <is>
          <t>Safety stock before ($)</t>
        </is>
      </c>
      <c r="F1" s="2" t="inlineStr">
        <is>
          <t>Safety stock reduction (%)</t>
        </is>
      </c>
      <c r="G1" s="2" t="inlineStr">
        <is>
          <t>Safety stock released ($)</t>
        </is>
      </c>
      <c r="H1" s="2" t="inlineStr">
        <is>
          <t>Effective z after</t>
        </is>
      </c>
      <c r="I1" s="2" t="inlineStr">
        <is>
          <t>Stockout reduction (%)</t>
        </is>
      </c>
      <c r="J1" s="2" t="inlineStr">
        <is>
          <t>Holding-cost savings ($/yr)</t>
        </is>
      </c>
      <c r="K1" s="2" t="inlineStr">
        <is>
          <t>Stockout margin recovered ($/yr)</t>
        </is>
      </c>
      <c r="L1" s="2" t="inlineStr">
        <is>
          <t>Total savings ($/yr)</t>
        </is>
      </c>
      <c r="M1" s="2" t="inlineStr">
        <is>
          <t>Shortage cost before ($/yr)</t>
        </is>
      </c>
    </row>
    <row r="2">
      <c r="A2" t="inlineStr">
        <is>
          <t>Conservative</t>
        </is>
      </c>
      <c r="B2" s="12" t="n">
        <v>0.5</v>
      </c>
      <c r="C2">
        <f>Data!A2</f>
        <v/>
      </c>
      <c r="D2" s="3">
        <f>B2*(1-Data!C2/Data!B2)</f>
        <v/>
      </c>
      <c r="E2" s="13">
        <f>Assumptions!$B$4*(Data!$B2*SQRT(Assumptions!$B$5))*(Data!$D2*(1-Assumptions!$B$7))</f>
        <v/>
      </c>
      <c r="F2" s="3">
        <f>Assumptions!$B$8*D2</f>
        <v/>
      </c>
      <c r="G2" s="13">
        <f>E2*F2</f>
        <v/>
      </c>
      <c r="H2" s="8">
        <f>Assumptions!$B$4*(1-Assumptions!$B$8*D2)/(1-D2)</f>
        <v/>
      </c>
      <c r="I2" s="3">
        <f>1-((1-D2)*(NORMDIST(H2,0,1,FALSE)-H2*(1-NORMSDIST(H2))))/(NORMDIST(Assumptions!$B$4,0,1,FALSE)-Assumptions!$B$4*(1-NORMSDIST(Assumptions!$B$4)))</f>
        <v/>
      </c>
      <c r="J2" s="13">
        <f>G2*Assumptions!$B$6</f>
        <v/>
      </c>
      <c r="K2" s="13">
        <f>M2*I2</f>
        <v/>
      </c>
      <c r="L2" s="13">
        <f>J2+K2</f>
        <v/>
      </c>
      <c r="M2" s="13">
        <f>(Data!$B2*SQRT(Assumptions!$B$5))*(NORMDIST(Assumptions!$B$4,0,1,FALSE)-Assumptions!$B$4*(1-NORMSDIST(Assumptions!$B$4)))*Assumptions!$B$9*(Data!$D2*Assumptions!$B$7)</f>
        <v/>
      </c>
    </row>
    <row r="3">
      <c r="A3" t="inlineStr">
        <is>
          <t>Conservative</t>
        </is>
      </c>
      <c r="B3" s="12" t="n">
        <v>0.5</v>
      </c>
      <c r="C3">
        <f>Data!A3</f>
        <v/>
      </c>
      <c r="D3" s="3">
        <f>B3*(1-Data!C3/Data!B3)</f>
        <v/>
      </c>
      <c r="E3" s="13">
        <f>Assumptions!$B$4*(Data!$B3*SQRT(Assumptions!$B$5))*(Data!$D3*(1-Assumptions!$B$7))</f>
        <v/>
      </c>
      <c r="F3" s="3">
        <f>Assumptions!$B$8*D3</f>
        <v/>
      </c>
      <c r="G3" s="13">
        <f>E3*F3</f>
        <v/>
      </c>
      <c r="H3" s="8">
        <f>Assumptions!$B$4*(1-Assumptions!$B$8*D3)/(1-D3)</f>
        <v/>
      </c>
      <c r="I3" s="3">
        <f>1-((1-D3)*(NORMDIST(H3,0,1,FALSE)-H3*(1-NORMSDIST(H3))))/(NORMDIST(Assumptions!$B$4,0,1,FALSE)-Assumptions!$B$4*(1-NORMSDIST(Assumptions!$B$4)))</f>
        <v/>
      </c>
      <c r="J3" s="13">
        <f>G3*Assumptions!$B$6</f>
        <v/>
      </c>
      <c r="K3" s="13">
        <f>M3*I3</f>
        <v/>
      </c>
      <c r="L3" s="13">
        <f>J3+K3</f>
        <v/>
      </c>
      <c r="M3" s="13">
        <f>(Data!$B3*SQRT(Assumptions!$B$5))*(NORMDIST(Assumptions!$B$4,0,1,FALSE)-Assumptions!$B$4*(1-NORMSDIST(Assumptions!$B$4)))*Assumptions!$B$9*(Data!$D3*Assumptions!$B$7)</f>
        <v/>
      </c>
    </row>
    <row r="4">
      <c r="A4" t="inlineStr">
        <is>
          <t>Conservative</t>
        </is>
      </c>
      <c r="B4" s="12" t="n">
        <v>0.5</v>
      </c>
      <c r="C4">
        <f>Data!A4</f>
        <v/>
      </c>
      <c r="D4" s="3">
        <f>B4*(1-Data!C4/Data!B4)</f>
        <v/>
      </c>
      <c r="E4" s="13">
        <f>Assumptions!$B$4*(Data!$B4*SQRT(Assumptions!$B$5))*(Data!$D4*(1-Assumptions!$B$7))</f>
        <v/>
      </c>
      <c r="F4" s="3">
        <f>Assumptions!$B$8*D4</f>
        <v/>
      </c>
      <c r="G4" s="13">
        <f>E4*F4</f>
        <v/>
      </c>
      <c r="H4" s="8">
        <f>Assumptions!$B$4*(1-Assumptions!$B$8*D4)/(1-D4)</f>
        <v/>
      </c>
      <c r="I4" s="3">
        <f>1-((1-D4)*(NORMDIST(H4,0,1,FALSE)-H4*(1-NORMSDIST(H4))))/(NORMDIST(Assumptions!$B$4,0,1,FALSE)-Assumptions!$B$4*(1-NORMSDIST(Assumptions!$B$4)))</f>
        <v/>
      </c>
      <c r="J4" s="13">
        <f>G4*Assumptions!$B$6</f>
        <v/>
      </c>
      <c r="K4" s="13">
        <f>M4*I4</f>
        <v/>
      </c>
      <c r="L4" s="13">
        <f>J4+K4</f>
        <v/>
      </c>
      <c r="M4" s="13">
        <f>(Data!$B4*SQRT(Assumptions!$B$5))*(NORMDIST(Assumptions!$B$4,0,1,FALSE)-Assumptions!$B$4*(1-NORMSDIST(Assumptions!$B$4)))*Assumptions!$B$9*(Data!$D4*Assumptions!$B$7)</f>
        <v/>
      </c>
    </row>
    <row r="5">
      <c r="A5" t="inlineStr">
        <is>
          <t>Expected</t>
        </is>
      </c>
      <c r="B5" s="12" t="n">
        <v>0.75</v>
      </c>
      <c r="C5">
        <f>Data!A2</f>
        <v/>
      </c>
      <c r="D5" s="3">
        <f>B5*(1-Data!C2/Data!B2)</f>
        <v/>
      </c>
      <c r="E5" s="13">
        <f>Assumptions!$B$4*(Data!$B2*SQRT(Assumptions!$B$5))*(Data!$D2*(1-Assumptions!$B$7))</f>
        <v/>
      </c>
      <c r="F5" s="3">
        <f>Assumptions!$B$8*D5</f>
        <v/>
      </c>
      <c r="G5" s="13">
        <f>E5*F5</f>
        <v/>
      </c>
      <c r="H5" s="8">
        <f>Assumptions!$B$4*(1-Assumptions!$B$8*D5)/(1-D5)</f>
        <v/>
      </c>
      <c r="I5" s="3">
        <f>1-((1-D5)*(NORMDIST(H5,0,1,FALSE)-H5*(1-NORMSDIST(H5))))/(NORMDIST(Assumptions!$B$4,0,1,FALSE)-Assumptions!$B$4*(1-NORMSDIST(Assumptions!$B$4)))</f>
        <v/>
      </c>
      <c r="J5" s="13">
        <f>G5*Assumptions!$B$6</f>
        <v/>
      </c>
      <c r="K5" s="13">
        <f>M5*I5</f>
        <v/>
      </c>
      <c r="L5" s="13">
        <f>J5+K5</f>
        <v/>
      </c>
      <c r="M5" s="13">
        <f>(Data!$B2*SQRT(Assumptions!$B$5))*(NORMDIST(Assumptions!$B$4,0,1,FALSE)-Assumptions!$B$4*(1-NORMSDIST(Assumptions!$B$4)))*Assumptions!$B$9*(Data!$D2*Assumptions!$B$7)</f>
        <v/>
      </c>
    </row>
    <row r="6">
      <c r="A6" t="inlineStr">
        <is>
          <t>Expected</t>
        </is>
      </c>
      <c r="B6" s="12" t="n">
        <v>0.75</v>
      </c>
      <c r="C6">
        <f>Data!A3</f>
        <v/>
      </c>
      <c r="D6" s="3">
        <f>B6*(1-Data!C3/Data!B3)</f>
        <v/>
      </c>
      <c r="E6" s="13">
        <f>Assumptions!$B$4*(Data!$B3*SQRT(Assumptions!$B$5))*(Data!$D3*(1-Assumptions!$B$7))</f>
        <v/>
      </c>
      <c r="F6" s="3">
        <f>Assumptions!$B$8*D6</f>
        <v/>
      </c>
      <c r="G6" s="13">
        <f>E6*F6</f>
        <v/>
      </c>
      <c r="H6" s="8">
        <f>Assumptions!$B$4*(1-Assumptions!$B$8*D6)/(1-D6)</f>
        <v/>
      </c>
      <c r="I6" s="3">
        <f>1-((1-D6)*(NORMDIST(H6,0,1,FALSE)-H6*(1-NORMSDIST(H6))))/(NORMDIST(Assumptions!$B$4,0,1,FALSE)-Assumptions!$B$4*(1-NORMSDIST(Assumptions!$B$4)))</f>
        <v/>
      </c>
      <c r="J6" s="13">
        <f>G6*Assumptions!$B$6</f>
        <v/>
      </c>
      <c r="K6" s="13">
        <f>M6*I6</f>
        <v/>
      </c>
      <c r="L6" s="13">
        <f>J6+K6</f>
        <v/>
      </c>
      <c r="M6" s="13">
        <f>(Data!$B3*SQRT(Assumptions!$B$5))*(NORMDIST(Assumptions!$B$4,0,1,FALSE)-Assumptions!$B$4*(1-NORMSDIST(Assumptions!$B$4)))*Assumptions!$B$9*(Data!$D3*Assumptions!$B$7)</f>
        <v/>
      </c>
    </row>
    <row r="7">
      <c r="A7" t="inlineStr">
        <is>
          <t>Expected</t>
        </is>
      </c>
      <c r="B7" s="12" t="n">
        <v>0.75</v>
      </c>
      <c r="C7">
        <f>Data!A4</f>
        <v/>
      </c>
      <c r="D7" s="3">
        <f>B7*(1-Data!C4/Data!B4)</f>
        <v/>
      </c>
      <c r="E7" s="13">
        <f>Assumptions!$B$4*(Data!$B4*SQRT(Assumptions!$B$5))*(Data!$D4*(1-Assumptions!$B$7))</f>
        <v/>
      </c>
      <c r="F7" s="3">
        <f>Assumptions!$B$8*D7</f>
        <v/>
      </c>
      <c r="G7" s="13">
        <f>E7*F7</f>
        <v/>
      </c>
      <c r="H7" s="8">
        <f>Assumptions!$B$4*(1-Assumptions!$B$8*D7)/(1-D7)</f>
        <v/>
      </c>
      <c r="I7" s="3">
        <f>1-((1-D7)*(NORMDIST(H7,0,1,FALSE)-H7*(1-NORMSDIST(H7))))/(NORMDIST(Assumptions!$B$4,0,1,FALSE)-Assumptions!$B$4*(1-NORMSDIST(Assumptions!$B$4)))</f>
        <v/>
      </c>
      <c r="J7" s="13">
        <f>G7*Assumptions!$B$6</f>
        <v/>
      </c>
      <c r="K7" s="13">
        <f>M7*I7</f>
        <v/>
      </c>
      <c r="L7" s="13">
        <f>J7+K7</f>
        <v/>
      </c>
      <c r="M7" s="13">
        <f>(Data!$B4*SQRT(Assumptions!$B$5))*(NORMDIST(Assumptions!$B$4,0,1,FALSE)-Assumptions!$B$4*(1-NORMSDIST(Assumptions!$B$4)))*Assumptions!$B$9*(Data!$D4*Assumptions!$B$7)</f>
        <v/>
      </c>
    </row>
    <row r="8">
      <c r="A8" t="inlineStr">
        <is>
          <t>Optimistic</t>
        </is>
      </c>
      <c r="B8" s="12" t="n">
        <v>1</v>
      </c>
      <c r="C8">
        <f>Data!A2</f>
        <v/>
      </c>
      <c r="D8" s="3">
        <f>B8*(1-Data!C2/Data!B2)</f>
        <v/>
      </c>
      <c r="E8" s="13">
        <f>Assumptions!$B$4*(Data!$B2*SQRT(Assumptions!$B$5))*(Data!$D2*(1-Assumptions!$B$7))</f>
        <v/>
      </c>
      <c r="F8" s="3">
        <f>Assumptions!$B$8*D8</f>
        <v/>
      </c>
      <c r="G8" s="13">
        <f>E8*F8</f>
        <v/>
      </c>
      <c r="H8" s="8">
        <f>Assumptions!$B$4*(1-Assumptions!$B$8*D8)/(1-D8)</f>
        <v/>
      </c>
      <c r="I8" s="3">
        <f>1-((1-D8)*(NORMDIST(H8,0,1,FALSE)-H8*(1-NORMSDIST(H8))))/(NORMDIST(Assumptions!$B$4,0,1,FALSE)-Assumptions!$B$4*(1-NORMSDIST(Assumptions!$B$4)))</f>
        <v/>
      </c>
      <c r="J8" s="13">
        <f>G8*Assumptions!$B$6</f>
        <v/>
      </c>
      <c r="K8" s="13">
        <f>M8*I8</f>
        <v/>
      </c>
      <c r="L8" s="13">
        <f>J8+K8</f>
        <v/>
      </c>
      <c r="M8" s="13">
        <f>(Data!$B2*SQRT(Assumptions!$B$5))*(NORMDIST(Assumptions!$B$4,0,1,FALSE)-Assumptions!$B$4*(1-NORMSDIST(Assumptions!$B$4)))*Assumptions!$B$9*(Data!$D2*Assumptions!$B$7)</f>
        <v/>
      </c>
    </row>
    <row r="9">
      <c r="A9" t="inlineStr">
        <is>
          <t>Optimistic</t>
        </is>
      </c>
      <c r="B9" s="12" t="n">
        <v>1</v>
      </c>
      <c r="C9">
        <f>Data!A3</f>
        <v/>
      </c>
      <c r="D9" s="3">
        <f>B9*(1-Data!C3/Data!B3)</f>
        <v/>
      </c>
      <c r="E9" s="13">
        <f>Assumptions!$B$4*(Data!$B3*SQRT(Assumptions!$B$5))*(Data!$D3*(1-Assumptions!$B$7))</f>
        <v/>
      </c>
      <c r="F9" s="3">
        <f>Assumptions!$B$8*D9</f>
        <v/>
      </c>
      <c r="G9" s="13">
        <f>E9*F9</f>
        <v/>
      </c>
      <c r="H9" s="8">
        <f>Assumptions!$B$4*(1-Assumptions!$B$8*D9)/(1-D9)</f>
        <v/>
      </c>
      <c r="I9" s="3">
        <f>1-((1-D9)*(NORMDIST(H9,0,1,FALSE)-H9*(1-NORMSDIST(H9))))/(NORMDIST(Assumptions!$B$4,0,1,FALSE)-Assumptions!$B$4*(1-NORMSDIST(Assumptions!$B$4)))</f>
        <v/>
      </c>
      <c r="J9" s="13">
        <f>G9*Assumptions!$B$6</f>
        <v/>
      </c>
      <c r="K9" s="13">
        <f>M9*I9</f>
        <v/>
      </c>
      <c r="L9" s="13">
        <f>J9+K9</f>
        <v/>
      </c>
      <c r="M9" s="13">
        <f>(Data!$B3*SQRT(Assumptions!$B$5))*(NORMDIST(Assumptions!$B$4,0,1,FALSE)-Assumptions!$B$4*(1-NORMSDIST(Assumptions!$B$4)))*Assumptions!$B$9*(Data!$D3*Assumptions!$B$7)</f>
        <v/>
      </c>
    </row>
    <row r="10">
      <c r="A10" t="inlineStr">
        <is>
          <t>Optimistic</t>
        </is>
      </c>
      <c r="B10" s="12" t="n">
        <v>1</v>
      </c>
      <c r="C10">
        <f>Data!A4</f>
        <v/>
      </c>
      <c r="D10" s="3">
        <f>B10*(1-Data!C4/Data!B4)</f>
        <v/>
      </c>
      <c r="E10" s="13">
        <f>Assumptions!$B$4*(Data!$B4*SQRT(Assumptions!$B$5))*(Data!$D4*(1-Assumptions!$B$7))</f>
        <v/>
      </c>
      <c r="F10" s="3">
        <f>Assumptions!$B$8*D10</f>
        <v/>
      </c>
      <c r="G10" s="13">
        <f>E10*F10</f>
        <v/>
      </c>
      <c r="H10" s="8">
        <f>Assumptions!$B$4*(1-Assumptions!$B$8*D10)/(1-D10)</f>
        <v/>
      </c>
      <c r="I10" s="3">
        <f>1-((1-D10)*(NORMDIST(H10,0,1,FALSE)-H10*(1-NORMSDIST(H10))))/(NORMDIST(Assumptions!$B$4,0,1,FALSE)-Assumptions!$B$4*(1-NORMSDIST(Assumptions!$B$4)))</f>
        <v/>
      </c>
      <c r="J10" s="13">
        <f>G10*Assumptions!$B$6</f>
        <v/>
      </c>
      <c r="K10" s="13">
        <f>M10*I10</f>
        <v/>
      </c>
      <c r="L10" s="13">
        <f>J10+K10</f>
        <v/>
      </c>
      <c r="M10" s="13">
        <f>(Data!$B4*SQRT(Assumptions!$B$5))*(NORMDIST(Assumptions!$B$4,0,1,FALSE)-Assumptions!$B$4*(1-NORMSDIST(Assumptions!$B$4)))*Assumptions!$B$9*(Data!$D4*Assumptions!$B$7)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2026-10-03T12:28:57Z</dcterms:created>
  <dcterms:modified xsi:type="dcterms:W3CDTF">2026-10-03T12:28:57Z</dcterms:modified>
</cp:coreProperties>
</file>